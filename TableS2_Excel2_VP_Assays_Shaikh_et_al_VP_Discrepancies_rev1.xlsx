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mohammedhisham_shaikh_ugent_be/Documents/Manuscripts/In_Progress/2025_1_ViralProduction_DataAnalyses/v8_review1/"/>
    </mc:Choice>
  </mc:AlternateContent>
  <xr:revisionPtr revIDLastSave="1" documentId="14_{81AFBABB-BDD3-4DD3-B0F8-13371776E925}" xr6:coauthVersionLast="47" xr6:coauthVersionMax="47" xr10:uidLastSave="{A5769F3C-72D3-471B-B8BD-00175374E919}"/>
  <bookViews>
    <workbookView xWindow="-108" yWindow="-108" windowWidth="23256" windowHeight="12456" activeTab="1" xr2:uid="{00000000-000D-0000-FFFF-FFFF00000000}"/>
  </bookViews>
  <sheets>
    <sheet name="VP_assay" sheetId="1" r:id="rId1"/>
    <sheet name="VP_assay_lege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O3" i="1"/>
  <c r="AP3" i="1"/>
  <c r="AQ3" i="1"/>
  <c r="AN4" i="1"/>
  <c r="AO4" i="1"/>
  <c r="AP4" i="1"/>
  <c r="AQ4" i="1"/>
  <c r="AN5" i="1"/>
  <c r="AO5" i="1"/>
  <c r="AP5" i="1"/>
  <c r="AQ5" i="1"/>
  <c r="AN6" i="1"/>
  <c r="AO6" i="1"/>
  <c r="AP6" i="1"/>
  <c r="AQ6" i="1"/>
  <c r="AN7" i="1"/>
  <c r="AO7" i="1"/>
  <c r="AP7" i="1"/>
  <c r="AQ7" i="1"/>
  <c r="AN8" i="1"/>
  <c r="AO8" i="1"/>
  <c r="AP8" i="1"/>
  <c r="AQ8" i="1"/>
  <c r="AN9" i="1"/>
  <c r="AO9" i="1"/>
  <c r="AP9" i="1"/>
  <c r="AQ9" i="1"/>
  <c r="AN10" i="1"/>
  <c r="AO10" i="1"/>
  <c r="AP10" i="1"/>
  <c r="AQ10" i="1"/>
  <c r="AN11" i="1"/>
  <c r="AO11" i="1"/>
  <c r="AP11" i="1"/>
  <c r="AQ11" i="1"/>
  <c r="AN12" i="1"/>
  <c r="AO12" i="1"/>
  <c r="AP12" i="1"/>
  <c r="AQ12" i="1"/>
  <c r="AN13" i="1"/>
  <c r="AO13" i="1"/>
  <c r="AP13" i="1"/>
  <c r="AQ13" i="1"/>
  <c r="AN14" i="1"/>
  <c r="AO14" i="1"/>
  <c r="AP14" i="1"/>
  <c r="AQ14" i="1"/>
  <c r="AN15" i="1"/>
  <c r="AO15" i="1"/>
  <c r="AP15" i="1"/>
  <c r="AQ15" i="1"/>
  <c r="AO2" i="1"/>
  <c r="AP2" i="1"/>
  <c r="AQ2" i="1"/>
  <c r="AN2" i="1"/>
  <c r="AF3" i="1"/>
  <c r="AG3" i="1"/>
  <c r="AH3" i="1"/>
  <c r="AI3" i="1"/>
  <c r="AF4" i="1"/>
  <c r="AG4" i="1"/>
  <c r="AH4" i="1"/>
  <c r="AI4" i="1"/>
  <c r="AF5" i="1"/>
  <c r="AG5" i="1"/>
  <c r="AH5" i="1"/>
  <c r="AI5" i="1"/>
  <c r="AF6" i="1"/>
  <c r="AG6" i="1"/>
  <c r="AH6" i="1"/>
  <c r="AI6" i="1"/>
  <c r="AF7" i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G2" i="1"/>
  <c r="AH2" i="1"/>
  <c r="AI2" i="1"/>
  <c r="AF2" i="1"/>
</calcChain>
</file>

<file path=xl/sharedStrings.xml><?xml version="1.0" encoding="utf-8"?>
<sst xmlns="http://schemas.openxmlformats.org/spreadsheetml/2006/main" count="231" uniqueCount="134">
  <si>
    <t>Location</t>
  </si>
  <si>
    <t>Station_Number</t>
  </si>
  <si>
    <t>Original_Location</t>
  </si>
  <si>
    <t>Original_Station_Number</t>
  </si>
  <si>
    <t>Expt_Date</t>
  </si>
  <si>
    <t>Latitude</t>
  </si>
  <si>
    <t>Longitude</t>
  </si>
  <si>
    <t>VBR</t>
  </si>
  <si>
    <t>Bacterial_Sample_Name</t>
  </si>
  <si>
    <t>Viral_Sample_Name</t>
  </si>
  <si>
    <t>CNS</t>
  </si>
  <si>
    <t>NJ2020</t>
  </si>
  <si>
    <t>BA210507.066</t>
  </si>
  <si>
    <t>VI210507.067</t>
  </si>
  <si>
    <t>BA210507.067</t>
  </si>
  <si>
    <t>VI210507.068</t>
  </si>
  <si>
    <t>18/8/2020</t>
  </si>
  <si>
    <t>BA210507.068</t>
  </si>
  <si>
    <t>VI210507.069</t>
  </si>
  <si>
    <t>20/8/2020</t>
  </si>
  <si>
    <t>ba201028.015</t>
  </si>
  <si>
    <t>vi201028.008</t>
  </si>
  <si>
    <t>BA210507.069</t>
  </si>
  <si>
    <t>VI210507.070</t>
  </si>
  <si>
    <t>BA210507.070</t>
  </si>
  <si>
    <t>VI210507.071</t>
  </si>
  <si>
    <t>BA210507.071</t>
  </si>
  <si>
    <t>VI210507.072</t>
  </si>
  <si>
    <t>ONS</t>
  </si>
  <si>
    <t>PE477</t>
  </si>
  <si>
    <t>18/9/2020</t>
  </si>
  <si>
    <t>NA</t>
  </si>
  <si>
    <t>BA210507.016</t>
  </si>
  <si>
    <t>VI210507.025</t>
  </si>
  <si>
    <t>PE486</t>
  </si>
  <si>
    <t>21/4/2021</t>
  </si>
  <si>
    <t>BA210506.155</t>
  </si>
  <si>
    <t>VI210506.142</t>
  </si>
  <si>
    <t>CCS</t>
  </si>
  <si>
    <t>CR</t>
  </si>
  <si>
    <t>13-1-15</t>
  </si>
  <si>
    <t>30-1-16</t>
  </si>
  <si>
    <t>40-1-9</t>
  </si>
  <si>
    <t>52-1-13</t>
  </si>
  <si>
    <t>62-1-20</t>
  </si>
  <si>
    <t>13/04/2022</t>
  </si>
  <si>
    <t>LR_Lytic_VP</t>
  </si>
  <si>
    <t>VIPCAL_Lytic_VP</t>
  </si>
  <si>
    <t>VIPCAL_SE_Lytic_VP</t>
  </si>
  <si>
    <t>VIPCAL_SE_NGTE_Lytic_VP</t>
  </si>
  <si>
    <t>Variable</t>
  </si>
  <si>
    <t>Units</t>
  </si>
  <si>
    <t>Description</t>
  </si>
  <si>
    <t>-</t>
  </si>
  <si>
    <t>Sampling location (CNS - coastal North Sea; ONS - open North Sea; CCS - Curaçao Caribbean Sea)</t>
  </si>
  <si>
    <t>Sampling station</t>
  </si>
  <si>
    <t>Origanl location code</t>
  </si>
  <si>
    <t>Original station numbers</t>
  </si>
  <si>
    <t>Date</t>
  </si>
  <si>
    <t>Experiment date</t>
  </si>
  <si>
    <t>Depth</t>
  </si>
  <si>
    <t>m</t>
  </si>
  <si>
    <t>Depth from surface</t>
  </si>
  <si>
    <t>Temperature</t>
  </si>
  <si>
    <t>° C</t>
  </si>
  <si>
    <t>Water temperature</t>
  </si>
  <si>
    <t>Salinity</t>
  </si>
  <si>
    <t>psu</t>
  </si>
  <si>
    <t>Water salinity</t>
  </si>
  <si>
    <t>Fluorescence</t>
  </si>
  <si>
    <t>µg/L</t>
  </si>
  <si>
    <t>Chlorophyll autofluorescence</t>
  </si>
  <si>
    <t>Oxygen</t>
  </si>
  <si>
    <t>µmol/Kg</t>
  </si>
  <si>
    <t>Oxygen concentration</t>
  </si>
  <si>
    <t>µM</t>
  </si>
  <si>
    <t>Ammonia concentration</t>
  </si>
  <si>
    <t>Nitrate concentration</t>
  </si>
  <si>
    <t>Nitrite concentration</t>
  </si>
  <si>
    <t>Phosphate concentration</t>
  </si>
  <si>
    <t>Silicate concentration</t>
  </si>
  <si>
    <t>Bacterial abundance</t>
  </si>
  <si>
    <t>High nucleic acid bacterial abundance</t>
  </si>
  <si>
    <t>Low nucleic acid bacterial abundance</t>
  </si>
  <si>
    <t>Viral abundance</t>
  </si>
  <si>
    <t>V1 viral abundance</t>
  </si>
  <si>
    <t>V2 viral abundance</t>
  </si>
  <si>
    <t>V3 viral abundance</t>
  </si>
  <si>
    <t>Virus to bacteria ratio</t>
  </si>
  <si>
    <t>Name of bacterial .fcs file</t>
  </si>
  <si>
    <t>Name of viral .fcs file</t>
  </si>
  <si>
    <t>Viruses/mL h</t>
  </si>
  <si>
    <t>Lytic viral production caluculated using linear regression approach</t>
  </si>
  <si>
    <t>Lytic viral production caluculated using VIPCAL approach</t>
  </si>
  <si>
    <t>Lytic viral production caluculated using VIPCAL-SE approach</t>
  </si>
  <si>
    <t>Lytic viral production caluculated using VIPCAL-SE approach at bacterial net generation time endpoint</t>
  </si>
  <si>
    <t>Ammonia</t>
  </si>
  <si>
    <t>Nitrate</t>
  </si>
  <si>
    <t>Nitrite</t>
  </si>
  <si>
    <t>Phosphate</t>
  </si>
  <si>
    <t>Silicate</t>
  </si>
  <si>
    <t>Total_Bacteria</t>
  </si>
  <si>
    <t>HNA</t>
  </si>
  <si>
    <t>LNA</t>
  </si>
  <si>
    <t>Total_Viruses</t>
  </si>
  <si>
    <t>V1</t>
  </si>
  <si>
    <t>V2</t>
  </si>
  <si>
    <t>V3</t>
  </si>
  <si>
    <t>/mL</t>
  </si>
  <si>
    <t>LR_Lytic_percent_bacteria_lost</t>
  </si>
  <si>
    <t>VIPCAL_Lytic_percent_bacteria_lost</t>
  </si>
  <si>
    <t>VIPCAL_SE_Lytic_percent_bacteria_lost</t>
  </si>
  <si>
    <t>VIPCAL_SE_NGTE_Lytic_percent_bacteria_lost</t>
  </si>
  <si>
    <t>LR_Induced_VP</t>
  </si>
  <si>
    <t>VIPCAL_Induced_VP</t>
  </si>
  <si>
    <t>VIPCAL_SE_Induced_VP</t>
  </si>
  <si>
    <t>VIPCAL_SE_NGTE_Induced_VP</t>
  </si>
  <si>
    <t>LR_Induced_percent_lysogen</t>
  </si>
  <si>
    <t>VIPCAL_Induced_percent_lysogen</t>
  </si>
  <si>
    <t>VIPCAL_SE_Induced_percent_lysogen</t>
  </si>
  <si>
    <t>VIPCAL_SE_NGTE_Induced_percent_lysogen</t>
  </si>
  <si>
    <t>%</t>
  </si>
  <si>
    <t>Percent lysogens assuming a burst szie of 50 using linear regression appraoch</t>
  </si>
  <si>
    <t>Induced viral production caluculated using linear regression approach</t>
  </si>
  <si>
    <t>Induced viral production caluculated using VIPCAL approach</t>
  </si>
  <si>
    <t>Induced viral production caluculated using VIPCAL-SE approach</t>
  </si>
  <si>
    <t>Induced viral production caluculated using VIPCAL-SE approach at bacterial net generation time endpoint</t>
  </si>
  <si>
    <t>Percent lysogens assuming a burst szie of 50 using VIPCAL approach</t>
  </si>
  <si>
    <t>Percent lysogens assuming a burst szie of 50 using VIPCAL-SE approach</t>
  </si>
  <si>
    <t>Percent lysogens assuming a burst szie of 50 using VIPCAL-SE approach at bacterial net generation time endpoint</t>
  </si>
  <si>
    <t>Percent bacterial standing stock lost over a day assuming a burst szie of 50 using linear regression appraoch</t>
  </si>
  <si>
    <t>Percent bacterial standing stock lost over a day  assuming a burst szie of 50 using VIPCAL approach</t>
  </si>
  <si>
    <t>Percent bacterial standing stock lost over a day  assuming a burst szie of 50 usingVIPCAL-SE approach</t>
  </si>
  <si>
    <t>Percent bacterial standing stock lost over a day  assuming a burst szie of 50 using VIPCAL-SE approach at bacterial net generation time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</si>
</sst>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0" xfId="0" applyFont="1"/>
    <xf numFmtId="14" fontId="0" fillId="0" borderId="0" xfId="0" applyNumberFormat="1"/>
    <xf numFmtId="11" fontId="0" fillId="0" borderId="0" xfId="0" applyNumberFormat="1"/>
    <xf numFmtId="14" fontId="2" fillId="0" borderId="0" xfId="0" applyNumberFormat="1" applyFont="1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4" fontId="1" fillId="0" borderId="0" xfId="0" applyNumberFormat="1" applyFont="1"/>
    <xf numFmtId="0" fontId="4" fillId="0" borderId="0" xfId="0" applyFont="1"/>
  </cellXfs>
  <cellStyles count="2">
    <cellStyle name="Normal" xfId="0" builtinId="0"/>
    <cellStyle name="Normal 2" xfId="1" xr:uid="{F2CAFB1F-7525-4E19-A0A7-A2F5D2086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"/>
  <sheetViews>
    <sheetView workbookViewId="0">
      <selection activeCell="G16" sqref="G16"/>
    </sheetView>
  </sheetViews>
  <sheetFormatPr defaultRowHeight="14.4" x14ac:dyDescent="0.3"/>
  <cols>
    <col min="5" max="5" width="10.5546875" style="2" bestFit="1" customWidth="1"/>
    <col min="31" max="35" width="9.109375" customWidth="1"/>
  </cols>
  <sheetData>
    <row r="1" spans="1:43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5" t="s">
        <v>5</v>
      </c>
      <c r="G1" s="5" t="s">
        <v>6</v>
      </c>
      <c r="H1" s="5" t="s">
        <v>60</v>
      </c>
      <c r="I1" s="5" t="s">
        <v>63</v>
      </c>
      <c r="J1" s="5" t="s">
        <v>66</v>
      </c>
      <c r="K1" s="9" t="s">
        <v>69</v>
      </c>
      <c r="L1" s="9" t="s">
        <v>72</v>
      </c>
      <c r="M1" s="9" t="s">
        <v>96</v>
      </c>
      <c r="N1" s="5" t="s">
        <v>97</v>
      </c>
      <c r="O1" s="5" t="s">
        <v>98</v>
      </c>
      <c r="P1" s="5" t="s">
        <v>99</v>
      </c>
      <c r="Q1" s="5" t="s">
        <v>100</v>
      </c>
      <c r="R1" s="5" t="s">
        <v>101</v>
      </c>
      <c r="S1" s="5" t="s">
        <v>102</v>
      </c>
      <c r="T1" s="5" t="s">
        <v>103</v>
      </c>
      <c r="U1" s="5" t="s">
        <v>104</v>
      </c>
      <c r="V1" s="5" t="s">
        <v>105</v>
      </c>
      <c r="W1" s="5" t="s">
        <v>106</v>
      </c>
      <c r="X1" s="5" t="s">
        <v>107</v>
      </c>
      <c r="Y1" s="5" t="s">
        <v>7</v>
      </c>
      <c r="Z1" s="5" t="s">
        <v>8</v>
      </c>
      <c r="AA1" s="5" t="s">
        <v>9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109</v>
      </c>
      <c r="AG1" s="5" t="s">
        <v>110</v>
      </c>
      <c r="AH1" s="5" t="s">
        <v>111</v>
      </c>
      <c r="AI1" s="5" t="s">
        <v>112</v>
      </c>
      <c r="AJ1" s="5" t="s">
        <v>113</v>
      </c>
      <c r="AK1" s="5" t="s">
        <v>114</v>
      </c>
      <c r="AL1" s="5" t="s">
        <v>115</v>
      </c>
      <c r="AM1" s="5" t="s">
        <v>116</v>
      </c>
      <c r="AN1" s="5" t="s">
        <v>117</v>
      </c>
      <c r="AO1" s="5" t="s">
        <v>118</v>
      </c>
      <c r="AP1" s="5" t="s">
        <v>119</v>
      </c>
      <c r="AQ1" s="5" t="s">
        <v>120</v>
      </c>
    </row>
    <row r="2" spans="1:43" x14ac:dyDescent="0.3">
      <c r="A2" t="s">
        <v>10</v>
      </c>
      <c r="B2">
        <v>1</v>
      </c>
      <c r="C2" t="s">
        <v>11</v>
      </c>
      <c r="D2">
        <v>1</v>
      </c>
      <c r="E2" s="2">
        <v>43929</v>
      </c>
      <c r="F2">
        <v>53.001771900000001</v>
      </c>
      <c r="G2">
        <v>4.7890145300000002</v>
      </c>
      <c r="H2">
        <v>1</v>
      </c>
      <c r="I2">
        <v>21</v>
      </c>
      <c r="J2">
        <v>22.166666670000001</v>
      </c>
      <c r="K2" s="1"/>
      <c r="L2" s="1"/>
      <c r="M2" s="1"/>
      <c r="N2">
        <v>1.48</v>
      </c>
      <c r="O2">
        <v>0.25</v>
      </c>
      <c r="P2">
        <v>0.18</v>
      </c>
      <c r="Q2">
        <v>0</v>
      </c>
      <c r="R2" s="3">
        <v>3450000</v>
      </c>
      <c r="S2" s="3">
        <v>1990000</v>
      </c>
      <c r="T2" s="3">
        <v>1460000</v>
      </c>
      <c r="U2" s="3">
        <v>182000000</v>
      </c>
      <c r="V2" s="3">
        <v>141000000</v>
      </c>
      <c r="W2" s="3">
        <v>33300000</v>
      </c>
      <c r="X2" s="3">
        <v>8150000</v>
      </c>
      <c r="Y2" s="7">
        <v>52.760889779999999</v>
      </c>
      <c r="Z2" t="s">
        <v>12</v>
      </c>
      <c r="AA2" t="s">
        <v>13</v>
      </c>
      <c r="AB2" s="3">
        <v>63484.173620223002</v>
      </c>
      <c r="AC2" s="3">
        <v>129296.37526652501</v>
      </c>
      <c r="AD2" s="3">
        <v>160899.399108354</v>
      </c>
      <c r="AE2" s="3">
        <v>160899.399108354</v>
      </c>
      <c r="AF2" s="6">
        <f>AB2*24*100/($R2*50)</f>
        <v>0.88325806775962445</v>
      </c>
      <c r="AG2" s="6">
        <f t="shared" ref="AG2:AI2" si="0">AC2*24*100/($R2*50)</f>
        <v>1.7989060906646956</v>
      </c>
      <c r="AH2" s="6">
        <f t="shared" si="0"/>
        <v>2.2386003354205775</v>
      </c>
      <c r="AI2" s="6">
        <f t="shared" si="0"/>
        <v>2.2386003354205775</v>
      </c>
      <c r="AJ2" s="3">
        <v>0</v>
      </c>
      <c r="AK2" s="3">
        <v>152544.420753374</v>
      </c>
      <c r="AL2" s="3">
        <v>395877.75408670999</v>
      </c>
      <c r="AM2" s="3">
        <v>395877.75408670999</v>
      </c>
      <c r="AN2" s="6">
        <f>AJ2*24*100/($R2*50)</f>
        <v>0</v>
      </c>
      <c r="AO2" s="6">
        <f t="shared" ref="AO2:AQ2" si="1">AK2*24*100/($R2*50)</f>
        <v>2.1223571583078122</v>
      </c>
      <c r="AP2" s="6">
        <f t="shared" si="1"/>
        <v>5.5078644046846605</v>
      </c>
      <c r="AQ2" s="6">
        <f t="shared" si="1"/>
        <v>5.5078644046846605</v>
      </c>
    </row>
    <row r="3" spans="1:43" x14ac:dyDescent="0.3">
      <c r="A3" t="s">
        <v>10</v>
      </c>
      <c r="B3">
        <v>2</v>
      </c>
      <c r="C3" t="s">
        <v>11</v>
      </c>
      <c r="D3">
        <v>2</v>
      </c>
      <c r="E3" s="2">
        <v>43990</v>
      </c>
      <c r="F3">
        <v>53.001771900000001</v>
      </c>
      <c r="G3">
        <v>4.7890145300000002</v>
      </c>
      <c r="H3">
        <v>1</v>
      </c>
      <c r="I3">
        <v>21.7</v>
      </c>
      <c r="J3">
        <v>22.2</v>
      </c>
      <c r="K3" s="1"/>
      <c r="L3" s="1"/>
      <c r="M3" s="1"/>
      <c r="N3">
        <v>1.4</v>
      </c>
      <c r="O3">
        <v>0.23</v>
      </c>
      <c r="P3">
        <v>0.28999999999999998</v>
      </c>
      <c r="Q3">
        <v>0.36</v>
      </c>
      <c r="R3" s="3">
        <v>3230000</v>
      </c>
      <c r="S3" s="3">
        <v>2040000</v>
      </c>
      <c r="T3" s="3">
        <v>1190000</v>
      </c>
      <c r="U3" s="3">
        <v>205000000</v>
      </c>
      <c r="V3" s="3">
        <v>162000000</v>
      </c>
      <c r="W3" s="3">
        <v>35000000</v>
      </c>
      <c r="X3" s="3">
        <v>8180000</v>
      </c>
      <c r="Y3" s="7">
        <v>63.3499044</v>
      </c>
      <c r="Z3" t="s">
        <v>14</v>
      </c>
      <c r="AA3" t="s">
        <v>15</v>
      </c>
      <c r="AB3" s="3">
        <v>3380310.8739517001</v>
      </c>
      <c r="AC3" s="3">
        <v>4327943.6152570397</v>
      </c>
      <c r="AD3" s="3">
        <v>3477053.1578560402</v>
      </c>
      <c r="AE3" s="3">
        <v>0</v>
      </c>
      <c r="AF3" s="6">
        <f t="shared" ref="AF3:AF15" si="2">AB3*24*100/($R3*50)</f>
        <v>50.233721965845696</v>
      </c>
      <c r="AG3" s="6">
        <f t="shared" ref="AG3:AG15" si="3">AC3*24*100/($R3*50)</f>
        <v>64.31618994809223</v>
      </c>
      <c r="AH3" s="6">
        <f t="shared" ref="AH3:AH15" si="4">AD3*24*100/($R3*50)</f>
        <v>51.671378197241467</v>
      </c>
      <c r="AI3" s="6">
        <f t="shared" ref="AI3:AI15" si="5">AE3*24*100/($R3*50)</f>
        <v>0</v>
      </c>
      <c r="AJ3" s="3">
        <v>0</v>
      </c>
      <c r="AK3" s="3">
        <v>1817519.5451314801</v>
      </c>
      <c r="AL3" s="3">
        <v>1817519.5451314801</v>
      </c>
      <c r="AM3" s="3">
        <v>1817519.5451314801</v>
      </c>
      <c r="AN3" s="6">
        <f t="shared" ref="AN3:AN15" si="6">AJ3*24*100/($R3*50)</f>
        <v>0</v>
      </c>
      <c r="AO3" s="6">
        <f t="shared" ref="AO3:AO15" si="7">AK3*24*100/($R3*50)</f>
        <v>27.009578379662859</v>
      </c>
      <c r="AP3" s="6">
        <f t="shared" ref="AP3:AP15" si="8">AL3*24*100/($R3*50)</f>
        <v>27.009578379662859</v>
      </c>
      <c r="AQ3" s="6">
        <f t="shared" ref="AQ3:AQ15" si="9">AM3*24*100/($R3*50)</f>
        <v>27.009578379662859</v>
      </c>
    </row>
    <row r="4" spans="1:43" x14ac:dyDescent="0.3">
      <c r="A4" t="s">
        <v>10</v>
      </c>
      <c r="B4">
        <v>3</v>
      </c>
      <c r="C4" t="s">
        <v>11</v>
      </c>
      <c r="D4">
        <v>3</v>
      </c>
      <c r="E4" s="2" t="s">
        <v>16</v>
      </c>
      <c r="F4">
        <v>53.001771900000001</v>
      </c>
      <c r="G4">
        <v>4.7890145300000002</v>
      </c>
      <c r="H4">
        <v>1</v>
      </c>
      <c r="I4">
        <v>21.7</v>
      </c>
      <c r="J4">
        <v>22.3</v>
      </c>
      <c r="K4" s="1"/>
      <c r="L4" s="1"/>
      <c r="M4" s="1"/>
      <c r="N4">
        <v>0.95</v>
      </c>
      <c r="O4">
        <v>0.21</v>
      </c>
      <c r="P4">
        <v>1.06</v>
      </c>
      <c r="Q4">
        <v>0.27</v>
      </c>
      <c r="R4" s="3">
        <v>6670000</v>
      </c>
      <c r="S4" s="3">
        <v>3740000</v>
      </c>
      <c r="T4" s="3">
        <v>2930000</v>
      </c>
      <c r="U4" s="3">
        <v>226000000</v>
      </c>
      <c r="V4" s="3">
        <v>192000000</v>
      </c>
      <c r="W4" s="3">
        <v>26800000</v>
      </c>
      <c r="X4" s="3">
        <v>7930000</v>
      </c>
      <c r="Y4" s="7">
        <v>33.977757179999998</v>
      </c>
      <c r="Z4" t="s">
        <v>17</v>
      </c>
      <c r="AA4" t="s">
        <v>18</v>
      </c>
      <c r="AB4" s="3">
        <v>0</v>
      </c>
      <c r="AC4" s="3">
        <v>810618.33688698499</v>
      </c>
      <c r="AD4" s="3">
        <v>1103994.3141435699</v>
      </c>
      <c r="AE4" s="3">
        <v>0</v>
      </c>
      <c r="AF4" s="6">
        <f t="shared" si="2"/>
        <v>0</v>
      </c>
      <c r="AG4" s="6">
        <f t="shared" si="3"/>
        <v>5.8335352579573128</v>
      </c>
      <c r="AH4" s="6">
        <f t="shared" si="4"/>
        <v>7.9447866684994537</v>
      </c>
      <c r="AI4" s="6">
        <f t="shared" si="5"/>
        <v>0</v>
      </c>
      <c r="AJ4" s="3">
        <v>0</v>
      </c>
      <c r="AK4" s="3">
        <v>527846.48187632195</v>
      </c>
      <c r="AL4" s="3">
        <v>0</v>
      </c>
      <c r="AM4" s="3">
        <v>0</v>
      </c>
      <c r="AN4" s="6">
        <f t="shared" si="6"/>
        <v>0</v>
      </c>
      <c r="AO4" s="6">
        <f t="shared" si="7"/>
        <v>3.7985953718236063</v>
      </c>
      <c r="AP4" s="6">
        <f t="shared" si="8"/>
        <v>0</v>
      </c>
      <c r="AQ4" s="6">
        <f t="shared" si="9"/>
        <v>0</v>
      </c>
    </row>
    <row r="5" spans="1:43" x14ac:dyDescent="0.3">
      <c r="A5" t="s">
        <v>10</v>
      </c>
      <c r="B5">
        <v>4</v>
      </c>
      <c r="C5" t="s">
        <v>11</v>
      </c>
      <c r="D5">
        <v>4</v>
      </c>
      <c r="E5" s="2" t="s">
        <v>19</v>
      </c>
      <c r="F5">
        <v>53.001771900000001</v>
      </c>
      <c r="G5">
        <v>4.7890145300000002</v>
      </c>
      <c r="H5">
        <v>1</v>
      </c>
      <c r="I5">
        <v>22.3</v>
      </c>
      <c r="J5">
        <v>22.4</v>
      </c>
      <c r="K5" s="1"/>
      <c r="L5" s="1"/>
      <c r="M5" s="1"/>
      <c r="N5">
        <v>0.45</v>
      </c>
      <c r="O5">
        <v>0.12</v>
      </c>
      <c r="P5">
        <v>0.53</v>
      </c>
      <c r="Q5">
        <v>1.24</v>
      </c>
      <c r="R5" s="3">
        <v>8160000</v>
      </c>
      <c r="S5" s="3">
        <v>3910000</v>
      </c>
      <c r="T5" s="3">
        <v>4250000</v>
      </c>
      <c r="U5" s="3">
        <v>183000000</v>
      </c>
      <c r="V5" s="3">
        <v>154000000</v>
      </c>
      <c r="W5" s="3">
        <v>22200000</v>
      </c>
      <c r="X5" s="3">
        <v>7690000</v>
      </c>
      <c r="Y5" s="7">
        <v>22.4680894</v>
      </c>
      <c r="Z5" t="s">
        <v>20</v>
      </c>
      <c r="AA5" t="s">
        <v>21</v>
      </c>
      <c r="AB5" s="3">
        <v>2443283.5820895499</v>
      </c>
      <c r="AC5" s="3">
        <v>1174490.6420279599</v>
      </c>
      <c r="AD5" s="3">
        <v>1684026.297086</v>
      </c>
      <c r="AE5" s="3">
        <v>423312.01137171203</v>
      </c>
      <c r="AF5" s="6">
        <f t="shared" si="2"/>
        <v>14.372256365232646</v>
      </c>
      <c r="AG5" s="6">
        <f t="shared" si="3"/>
        <v>6.9087684825174112</v>
      </c>
      <c r="AH5" s="6">
        <f t="shared" si="4"/>
        <v>9.9060370416823513</v>
      </c>
      <c r="AI5" s="6">
        <f t="shared" si="5"/>
        <v>2.4900706551277181</v>
      </c>
      <c r="AJ5" s="3">
        <v>0</v>
      </c>
      <c r="AK5" s="3">
        <v>211371.71286423501</v>
      </c>
      <c r="AL5" s="3">
        <v>0</v>
      </c>
      <c r="AM5" s="3">
        <v>0</v>
      </c>
      <c r="AN5" s="6">
        <f t="shared" si="6"/>
        <v>0</v>
      </c>
      <c r="AO5" s="6">
        <f t="shared" si="7"/>
        <v>1.2433630168484411</v>
      </c>
      <c r="AP5" s="6">
        <f t="shared" si="8"/>
        <v>0</v>
      </c>
      <c r="AQ5" s="6">
        <f t="shared" si="9"/>
        <v>0</v>
      </c>
    </row>
    <row r="6" spans="1:43" x14ac:dyDescent="0.3">
      <c r="A6" t="s">
        <v>10</v>
      </c>
      <c r="B6">
        <v>5</v>
      </c>
      <c r="C6" t="s">
        <v>11</v>
      </c>
      <c r="D6">
        <v>5</v>
      </c>
      <c r="E6" s="2">
        <v>43839</v>
      </c>
      <c r="F6">
        <v>53.001771900000001</v>
      </c>
      <c r="G6">
        <v>4.7890145300000002</v>
      </c>
      <c r="H6">
        <v>1</v>
      </c>
      <c r="I6">
        <v>18.2</v>
      </c>
      <c r="J6">
        <v>44.8</v>
      </c>
      <c r="K6" s="1"/>
      <c r="L6" s="1"/>
      <c r="M6" s="1"/>
      <c r="N6">
        <v>0.86</v>
      </c>
      <c r="O6">
        <v>0.14000000000000001</v>
      </c>
      <c r="P6">
        <v>0.22</v>
      </c>
      <c r="Q6">
        <v>0.99</v>
      </c>
      <c r="R6" s="3">
        <v>3300000</v>
      </c>
      <c r="S6" s="3">
        <v>1780000</v>
      </c>
      <c r="T6" s="3">
        <v>1520000</v>
      </c>
      <c r="U6" s="3">
        <v>137000000</v>
      </c>
      <c r="V6" s="3">
        <v>112000000</v>
      </c>
      <c r="W6" s="3">
        <v>22400000</v>
      </c>
      <c r="X6" s="3">
        <v>3280000</v>
      </c>
      <c r="Y6" s="7">
        <v>41.652304229999999</v>
      </c>
      <c r="Z6" t="s">
        <v>22</v>
      </c>
      <c r="AA6" t="s">
        <v>23</v>
      </c>
      <c r="AB6" s="3">
        <v>88116.560056858594</v>
      </c>
      <c r="AC6" s="3">
        <v>581396.58848613605</v>
      </c>
      <c r="AD6" s="3">
        <v>957000.71073204395</v>
      </c>
      <c r="AE6" s="3">
        <v>957000.71073204395</v>
      </c>
      <c r="AF6" s="6">
        <f t="shared" si="2"/>
        <v>1.2816954190088523</v>
      </c>
      <c r="AG6" s="6">
        <f t="shared" si="3"/>
        <v>8.4566776507074337</v>
      </c>
      <c r="AH6" s="6">
        <f t="shared" si="4"/>
        <v>13.92001033792064</v>
      </c>
      <c r="AI6" s="6">
        <f t="shared" si="5"/>
        <v>13.92001033792064</v>
      </c>
      <c r="AJ6" s="3">
        <v>0</v>
      </c>
      <c r="AK6" s="3">
        <v>917697.22814500099</v>
      </c>
      <c r="AL6" s="3">
        <v>0</v>
      </c>
      <c r="AM6" s="3">
        <v>0</v>
      </c>
      <c r="AN6" s="6">
        <f t="shared" si="6"/>
        <v>0</v>
      </c>
      <c r="AO6" s="6">
        <f t="shared" si="7"/>
        <v>13.34832331847274</v>
      </c>
      <c r="AP6" s="6">
        <f t="shared" si="8"/>
        <v>0</v>
      </c>
      <c r="AQ6" s="6">
        <f t="shared" si="9"/>
        <v>0</v>
      </c>
    </row>
    <row r="7" spans="1:43" x14ac:dyDescent="0.3">
      <c r="A7" t="s">
        <v>10</v>
      </c>
      <c r="B7">
        <v>6</v>
      </c>
      <c r="C7" t="s">
        <v>11</v>
      </c>
      <c r="D7">
        <v>6</v>
      </c>
      <c r="E7" s="2">
        <v>43899</v>
      </c>
      <c r="F7">
        <v>53.001771900000001</v>
      </c>
      <c r="G7">
        <v>4.7890145300000002</v>
      </c>
      <c r="H7">
        <v>1</v>
      </c>
      <c r="I7">
        <v>17.2</v>
      </c>
      <c r="J7">
        <v>22.533333330000001</v>
      </c>
      <c r="K7" s="1"/>
      <c r="L7" s="1"/>
      <c r="M7" s="1"/>
      <c r="N7">
        <v>1.22</v>
      </c>
      <c r="O7">
        <v>0.32</v>
      </c>
      <c r="P7">
        <v>0.32</v>
      </c>
      <c r="Q7">
        <v>0.95</v>
      </c>
      <c r="R7" s="3">
        <v>4700000</v>
      </c>
      <c r="S7" s="3">
        <v>2330000</v>
      </c>
      <c r="T7" s="3">
        <v>2370000</v>
      </c>
      <c r="U7" s="3">
        <v>153000000</v>
      </c>
      <c r="V7" s="3">
        <v>123000000</v>
      </c>
      <c r="W7" s="3">
        <v>25200000</v>
      </c>
      <c r="X7" s="3">
        <v>5090000</v>
      </c>
      <c r="Y7" s="7">
        <v>32.55215175</v>
      </c>
      <c r="Z7" t="s">
        <v>24</v>
      </c>
      <c r="AA7" t="s">
        <v>25</v>
      </c>
      <c r="AB7" s="3">
        <v>0</v>
      </c>
      <c r="AC7" s="3">
        <v>328358.20895522198</v>
      </c>
      <c r="AD7" s="3">
        <v>0</v>
      </c>
      <c r="AE7" s="3">
        <v>0</v>
      </c>
      <c r="AF7" s="6">
        <f t="shared" si="2"/>
        <v>0</v>
      </c>
      <c r="AG7" s="6">
        <f t="shared" si="3"/>
        <v>3.3534455382660968</v>
      </c>
      <c r="AH7" s="6">
        <f t="shared" si="4"/>
        <v>0</v>
      </c>
      <c r="AI7" s="6">
        <f t="shared" si="5"/>
        <v>0</v>
      </c>
      <c r="AJ7" s="3">
        <v>11572.904707232799</v>
      </c>
      <c r="AK7" s="3">
        <v>452736.318407955</v>
      </c>
      <c r="AL7" s="3">
        <v>0</v>
      </c>
      <c r="AM7" s="3">
        <v>0</v>
      </c>
      <c r="AN7" s="6">
        <f t="shared" si="6"/>
        <v>0.11819136722280307</v>
      </c>
      <c r="AO7" s="6">
        <f t="shared" si="7"/>
        <v>4.6236900603365614</v>
      </c>
      <c r="AP7" s="6">
        <f t="shared" si="8"/>
        <v>0</v>
      </c>
      <c r="AQ7" s="6">
        <f t="shared" si="9"/>
        <v>0</v>
      </c>
    </row>
    <row r="8" spans="1:43" x14ac:dyDescent="0.3">
      <c r="A8" t="s">
        <v>10</v>
      </c>
      <c r="B8">
        <v>7</v>
      </c>
      <c r="C8" t="s">
        <v>11</v>
      </c>
      <c r="D8">
        <v>7</v>
      </c>
      <c r="E8" s="2">
        <v>43960</v>
      </c>
      <c r="F8">
        <v>53.001771900000001</v>
      </c>
      <c r="G8">
        <v>4.7890145300000002</v>
      </c>
      <c r="H8">
        <v>1</v>
      </c>
      <c r="I8">
        <v>18.2</v>
      </c>
      <c r="J8">
        <v>22.6</v>
      </c>
      <c r="K8" s="1"/>
      <c r="L8" s="1"/>
      <c r="M8" s="1"/>
      <c r="N8">
        <v>0.97</v>
      </c>
      <c r="O8">
        <v>0.28000000000000003</v>
      </c>
      <c r="P8">
        <v>0.26</v>
      </c>
      <c r="Q8">
        <v>1.03</v>
      </c>
      <c r="R8" s="3">
        <v>3600000</v>
      </c>
      <c r="S8" s="3">
        <v>1840000</v>
      </c>
      <c r="T8" s="3">
        <v>1760000</v>
      </c>
      <c r="U8" s="3">
        <v>133000000</v>
      </c>
      <c r="V8" s="3">
        <v>107000000</v>
      </c>
      <c r="W8" s="3">
        <v>22300000</v>
      </c>
      <c r="X8" s="3">
        <v>3770000</v>
      </c>
      <c r="Y8" s="7">
        <v>37.0545829</v>
      </c>
      <c r="Z8" t="s">
        <v>26</v>
      </c>
      <c r="AA8" t="s">
        <v>27</v>
      </c>
      <c r="AB8" s="3">
        <v>0</v>
      </c>
      <c r="AC8" s="3">
        <v>282217.484008528</v>
      </c>
      <c r="AD8" s="3">
        <v>430732.05401563598</v>
      </c>
      <c r="AE8" s="3">
        <v>430732.05401563598</v>
      </c>
      <c r="AF8" s="6">
        <f t="shared" si="2"/>
        <v>0</v>
      </c>
      <c r="AG8" s="6">
        <f t="shared" si="3"/>
        <v>3.7628997867803733</v>
      </c>
      <c r="AH8" s="6">
        <f t="shared" si="4"/>
        <v>5.7430940535418129</v>
      </c>
      <c r="AI8" s="6">
        <f t="shared" si="5"/>
        <v>5.7430940535418129</v>
      </c>
      <c r="AJ8" s="3">
        <v>67817.061740126795</v>
      </c>
      <c r="AK8" s="3">
        <v>215916.84434968</v>
      </c>
      <c r="AL8" s="3">
        <v>189392.32409381701</v>
      </c>
      <c r="AM8" s="3">
        <v>283496.80170575797</v>
      </c>
      <c r="AN8" s="6">
        <f t="shared" si="6"/>
        <v>0.90422748986835733</v>
      </c>
      <c r="AO8" s="6">
        <f t="shared" si="7"/>
        <v>2.8788912579957331</v>
      </c>
      <c r="AP8" s="6">
        <f t="shared" si="8"/>
        <v>2.5252309879175598</v>
      </c>
      <c r="AQ8" s="6">
        <f t="shared" si="9"/>
        <v>3.779957356076773</v>
      </c>
    </row>
    <row r="9" spans="1:43" x14ac:dyDescent="0.3">
      <c r="A9" t="s">
        <v>28</v>
      </c>
      <c r="B9">
        <v>1</v>
      </c>
      <c r="C9" t="s">
        <v>29</v>
      </c>
      <c r="D9">
        <v>3</v>
      </c>
      <c r="E9" s="2" t="s">
        <v>30</v>
      </c>
      <c r="F9">
        <v>54.464888999999999</v>
      </c>
      <c r="G9">
        <v>0.88463899999999995</v>
      </c>
      <c r="H9">
        <v>7</v>
      </c>
      <c r="I9" t="s">
        <v>31</v>
      </c>
      <c r="J9" t="s">
        <v>31</v>
      </c>
      <c r="K9" s="1"/>
      <c r="L9" s="1"/>
      <c r="M9" s="1"/>
      <c r="N9">
        <v>0.44</v>
      </c>
      <c r="O9">
        <v>0.06</v>
      </c>
      <c r="P9">
        <v>0.19</v>
      </c>
      <c r="Q9">
        <v>0</v>
      </c>
      <c r="R9" s="3">
        <v>722000</v>
      </c>
      <c r="S9" s="3">
        <v>429000</v>
      </c>
      <c r="T9" s="3">
        <v>293000</v>
      </c>
      <c r="U9" s="3">
        <v>37100000</v>
      </c>
      <c r="V9" s="3">
        <v>26500000</v>
      </c>
      <c r="W9" s="3">
        <v>9230000</v>
      </c>
      <c r="X9" s="3">
        <v>1300000</v>
      </c>
      <c r="Y9" s="7">
        <v>51.284419360000001</v>
      </c>
      <c r="Z9" t="s">
        <v>32</v>
      </c>
      <c r="AA9" t="s">
        <v>33</v>
      </c>
      <c r="AB9" s="3">
        <v>24869.281045751999</v>
      </c>
      <c r="AC9" s="3">
        <v>27965.686274509899</v>
      </c>
      <c r="AD9" s="3">
        <v>58954.248366013198</v>
      </c>
      <c r="AE9" s="3">
        <v>58954.248366013198</v>
      </c>
      <c r="AF9" s="6">
        <f t="shared" si="2"/>
        <v>1.6533594047037341</v>
      </c>
      <c r="AG9" s="6">
        <f t="shared" si="3"/>
        <v>1.8592145999674168</v>
      </c>
      <c r="AH9" s="6">
        <f t="shared" si="4"/>
        <v>3.9193960132529546</v>
      </c>
      <c r="AI9" s="6">
        <f t="shared" si="5"/>
        <v>3.9193960132529546</v>
      </c>
      <c r="AJ9" s="3">
        <v>4790.8496732022204</v>
      </c>
      <c r="AK9" s="3">
        <v>328366.01307189401</v>
      </c>
      <c r="AL9" s="3">
        <v>328366.01307189401</v>
      </c>
      <c r="AM9" s="3">
        <v>328366.01307189401</v>
      </c>
      <c r="AN9" s="6">
        <f t="shared" si="6"/>
        <v>0.31850524143172654</v>
      </c>
      <c r="AO9" s="6">
        <f t="shared" si="7"/>
        <v>21.830427461843371</v>
      </c>
      <c r="AP9" s="6">
        <f t="shared" si="8"/>
        <v>21.830427461843371</v>
      </c>
      <c r="AQ9" s="6">
        <f t="shared" si="9"/>
        <v>21.830427461843371</v>
      </c>
    </row>
    <row r="10" spans="1:43" x14ac:dyDescent="0.3">
      <c r="A10" t="s">
        <v>28</v>
      </c>
      <c r="B10">
        <v>2</v>
      </c>
      <c r="C10" t="s">
        <v>34</v>
      </c>
      <c r="D10">
        <v>7</v>
      </c>
      <c r="E10" s="2" t="s">
        <v>35</v>
      </c>
      <c r="F10">
        <v>54.970917</v>
      </c>
      <c r="G10">
        <v>1.4935560000000001</v>
      </c>
      <c r="H10">
        <v>7</v>
      </c>
      <c r="I10">
        <v>7</v>
      </c>
      <c r="J10">
        <v>34.299999999999997</v>
      </c>
      <c r="K10" s="1"/>
      <c r="L10" s="1"/>
      <c r="M10" s="1"/>
      <c r="N10">
        <v>-0.08</v>
      </c>
      <c r="O10">
        <v>-1.4999999999999999E-2</v>
      </c>
      <c r="P10">
        <v>0.1</v>
      </c>
      <c r="Q10">
        <v>-1.44</v>
      </c>
      <c r="R10" s="3">
        <v>1150000</v>
      </c>
      <c r="S10" s="3">
        <v>608000</v>
      </c>
      <c r="T10" s="3">
        <v>546000</v>
      </c>
      <c r="U10" s="3">
        <v>38600000</v>
      </c>
      <c r="V10" s="3">
        <v>28600000</v>
      </c>
      <c r="W10" s="3">
        <v>9320000</v>
      </c>
      <c r="X10" s="3">
        <v>701000</v>
      </c>
      <c r="Y10" s="7">
        <v>33.470459050000002</v>
      </c>
      <c r="Z10" t="s">
        <v>36</v>
      </c>
      <c r="AA10" t="s">
        <v>37</v>
      </c>
      <c r="AB10" s="3">
        <v>27193.967903655499</v>
      </c>
      <c r="AC10" s="3">
        <v>84002.071642465104</v>
      </c>
      <c r="AD10" s="3">
        <v>164023.394132733</v>
      </c>
      <c r="AE10" s="3">
        <v>164023.394132733</v>
      </c>
      <c r="AF10" s="6">
        <f t="shared" si="2"/>
        <v>1.1350525733699686</v>
      </c>
      <c r="AG10" s="6">
        <f t="shared" si="3"/>
        <v>3.5061734250768044</v>
      </c>
      <c r="AH10" s="6">
        <f t="shared" si="4"/>
        <v>6.8461938420618988</v>
      </c>
      <c r="AI10" s="6">
        <f t="shared" si="5"/>
        <v>6.8461938420618988</v>
      </c>
      <c r="AJ10" s="3">
        <v>493.03162182094502</v>
      </c>
      <c r="AK10" s="3">
        <v>113675.870599482</v>
      </c>
      <c r="AL10" s="3">
        <v>204078.82158805901</v>
      </c>
      <c r="AM10" s="3">
        <v>204078.82158805901</v>
      </c>
      <c r="AN10" s="6">
        <f t="shared" si="6"/>
        <v>2.0578711171656834E-2</v>
      </c>
      <c r="AO10" s="6">
        <f t="shared" si="7"/>
        <v>4.7447319902392495</v>
      </c>
      <c r="AP10" s="6">
        <f t="shared" si="8"/>
        <v>8.5180725532407244</v>
      </c>
      <c r="AQ10" s="6">
        <f t="shared" si="9"/>
        <v>8.5180725532407244</v>
      </c>
    </row>
    <row r="11" spans="1:43" x14ac:dyDescent="0.3">
      <c r="A11" t="s">
        <v>38</v>
      </c>
      <c r="B11">
        <v>1</v>
      </c>
      <c r="C11" t="s">
        <v>39</v>
      </c>
      <c r="D11" t="s">
        <v>40</v>
      </c>
      <c r="E11" s="4">
        <v>44777</v>
      </c>
      <c r="F11">
        <v>53.001771900000001</v>
      </c>
      <c r="G11">
        <v>4.7890145300000002</v>
      </c>
      <c r="H11" s="1">
        <v>10</v>
      </c>
      <c r="I11" s="1">
        <v>26.7</v>
      </c>
      <c r="J11" s="1">
        <v>36.700000000000003</v>
      </c>
      <c r="K11" s="1">
        <v>0.11</v>
      </c>
      <c r="L11" s="1">
        <v>181.8</v>
      </c>
      <c r="M11" s="1">
        <v>0.21</v>
      </c>
      <c r="N11" s="1">
        <v>0.03</v>
      </c>
      <c r="O11" s="1">
        <v>0.01</v>
      </c>
      <c r="P11" s="1">
        <v>1.7999999999999999E-2</v>
      </c>
      <c r="Q11" s="1">
        <v>1.18</v>
      </c>
      <c r="R11" s="3">
        <v>1090000</v>
      </c>
      <c r="U11" s="3">
        <v>20600000</v>
      </c>
      <c r="Y11" s="7">
        <v>18.8185878</v>
      </c>
      <c r="AB11" s="3">
        <v>89355.666666666701</v>
      </c>
      <c r="AC11" s="3">
        <v>152366.73239292999</v>
      </c>
      <c r="AD11" s="3">
        <v>152366.73239292999</v>
      </c>
      <c r="AE11" s="3">
        <v>152366.73239292999</v>
      </c>
      <c r="AF11" s="6">
        <f t="shared" si="2"/>
        <v>3.9349284403669742</v>
      </c>
      <c r="AG11" s="6">
        <f t="shared" si="3"/>
        <v>6.709727665009761</v>
      </c>
      <c r="AH11" s="6">
        <f t="shared" si="4"/>
        <v>6.709727665009761</v>
      </c>
      <c r="AI11" s="6">
        <f t="shared" si="5"/>
        <v>6.709727665009761</v>
      </c>
      <c r="AJ11" s="3">
        <v>0</v>
      </c>
      <c r="AK11" s="3">
        <v>77893.390191897401</v>
      </c>
      <c r="AL11" s="3">
        <v>0</v>
      </c>
      <c r="AM11" s="3">
        <v>0</v>
      </c>
      <c r="AN11" s="6">
        <f t="shared" si="6"/>
        <v>0</v>
      </c>
      <c r="AO11" s="6">
        <f t="shared" si="7"/>
        <v>3.4301676414780506</v>
      </c>
      <c r="AP11" s="6">
        <f t="shared" si="8"/>
        <v>0</v>
      </c>
      <c r="AQ11" s="6">
        <f t="shared" si="9"/>
        <v>0</v>
      </c>
    </row>
    <row r="12" spans="1:43" x14ac:dyDescent="0.3">
      <c r="A12" t="s">
        <v>38</v>
      </c>
      <c r="B12">
        <v>2</v>
      </c>
      <c r="C12" t="s">
        <v>39</v>
      </c>
      <c r="D12" t="s">
        <v>41</v>
      </c>
      <c r="E12" s="4">
        <v>44838</v>
      </c>
      <c r="F12">
        <v>53.001771900000001</v>
      </c>
      <c r="G12">
        <v>4.7890145300000002</v>
      </c>
      <c r="H12" s="1">
        <v>10</v>
      </c>
      <c r="I12" s="1">
        <v>26.7</v>
      </c>
      <c r="J12" s="1">
        <v>36.6</v>
      </c>
      <c r="K12" s="1">
        <v>0.15</v>
      </c>
      <c r="L12" s="1">
        <v>181.7</v>
      </c>
      <c r="M12" s="1">
        <v>0.19</v>
      </c>
      <c r="N12" s="1">
        <v>0.08</v>
      </c>
      <c r="O12" s="1">
        <v>1.0999999999999999E-2</v>
      </c>
      <c r="P12" s="1">
        <v>3.4000000000000002E-2</v>
      </c>
      <c r="Q12" s="1">
        <v>1.32</v>
      </c>
      <c r="R12" s="3">
        <v>991000</v>
      </c>
      <c r="U12" s="3">
        <v>14100000</v>
      </c>
      <c r="Y12" s="7">
        <v>14.253152800000001</v>
      </c>
      <c r="AB12" s="3">
        <v>209754</v>
      </c>
      <c r="AC12" s="3">
        <v>173842.25134225099</v>
      </c>
      <c r="AD12" s="3">
        <v>232252.25225225199</v>
      </c>
      <c r="AE12" s="3">
        <v>232252.25225225199</v>
      </c>
      <c r="AF12" s="6">
        <f t="shared" si="2"/>
        <v>10.159628657921292</v>
      </c>
      <c r="AG12" s="6">
        <f t="shared" si="3"/>
        <v>8.4202099540141759</v>
      </c>
      <c r="AH12" s="6">
        <f t="shared" si="4"/>
        <v>11.249352278615637</v>
      </c>
      <c r="AI12" s="6">
        <f t="shared" si="5"/>
        <v>11.249352278615637</v>
      </c>
      <c r="AJ12" s="3">
        <v>5668</v>
      </c>
      <c r="AK12" s="3">
        <v>113244.829244829</v>
      </c>
      <c r="AL12" s="3">
        <v>0</v>
      </c>
      <c r="AM12" s="3">
        <v>0</v>
      </c>
      <c r="AN12" s="6">
        <f t="shared" si="6"/>
        <v>0.27453481331987889</v>
      </c>
      <c r="AO12" s="6">
        <f t="shared" si="7"/>
        <v>5.4851178645325849</v>
      </c>
      <c r="AP12" s="6">
        <f t="shared" si="8"/>
        <v>0</v>
      </c>
      <c r="AQ12" s="6">
        <f t="shared" si="9"/>
        <v>0</v>
      </c>
    </row>
    <row r="13" spans="1:43" x14ac:dyDescent="0.3">
      <c r="A13" t="s">
        <v>38</v>
      </c>
      <c r="B13">
        <v>3</v>
      </c>
      <c r="C13" t="s">
        <v>39</v>
      </c>
      <c r="D13" t="s">
        <v>42</v>
      </c>
      <c r="E13" s="4">
        <v>44869</v>
      </c>
      <c r="F13">
        <v>53.001771900000001</v>
      </c>
      <c r="G13">
        <v>4.7890145300000002</v>
      </c>
      <c r="H13" s="1">
        <v>50</v>
      </c>
      <c r="I13" s="1">
        <v>26.1</v>
      </c>
      <c r="J13" s="1">
        <v>36.700000000000003</v>
      </c>
      <c r="K13" s="1">
        <v>0.28000000000000003</v>
      </c>
      <c r="L13" s="1">
        <v>172</v>
      </c>
      <c r="M13" s="1">
        <v>0.24</v>
      </c>
      <c r="N13" s="1">
        <v>0.39</v>
      </c>
      <c r="O13" s="1">
        <v>0.153</v>
      </c>
      <c r="P13" s="1">
        <v>4.4999999999999998E-2</v>
      </c>
      <c r="Q13" s="1">
        <v>1.06</v>
      </c>
      <c r="R13" s="3">
        <v>744000</v>
      </c>
      <c r="U13" s="3">
        <v>19400000</v>
      </c>
      <c r="Y13" s="7">
        <v>26.030096289999999</v>
      </c>
      <c r="AB13" s="3">
        <v>261296.66666666701</v>
      </c>
      <c r="AC13" s="3">
        <v>278196.42503466102</v>
      </c>
      <c r="AD13" s="3">
        <v>278196.42503466102</v>
      </c>
      <c r="AE13" s="3">
        <v>278196.42503466102</v>
      </c>
      <c r="AF13" s="6">
        <f t="shared" si="2"/>
        <v>16.857849462365614</v>
      </c>
      <c r="AG13" s="6">
        <f t="shared" si="3"/>
        <v>17.948156453849098</v>
      </c>
      <c r="AH13" s="6">
        <f t="shared" si="4"/>
        <v>17.948156453849098</v>
      </c>
      <c r="AI13" s="6">
        <f t="shared" si="5"/>
        <v>17.948156453849098</v>
      </c>
      <c r="AJ13" s="3">
        <v>11120</v>
      </c>
      <c r="AK13" s="3">
        <v>205239.90437423301</v>
      </c>
      <c r="AL13" s="3">
        <v>290162.39437732002</v>
      </c>
      <c r="AM13" s="3">
        <v>500681.15073558298</v>
      </c>
      <c r="AN13" s="6">
        <f t="shared" si="6"/>
        <v>0.71741935483870967</v>
      </c>
      <c r="AO13" s="6">
        <f t="shared" si="7"/>
        <v>13.241284153176323</v>
      </c>
      <c r="AP13" s="6">
        <f t="shared" si="8"/>
        <v>18.720154475956129</v>
      </c>
      <c r="AQ13" s="6">
        <f t="shared" si="9"/>
        <v>32.302009724876321</v>
      </c>
    </row>
    <row r="14" spans="1:43" x14ac:dyDescent="0.3">
      <c r="A14" t="s">
        <v>38</v>
      </c>
      <c r="B14">
        <v>4</v>
      </c>
      <c r="C14" t="s">
        <v>39</v>
      </c>
      <c r="D14" t="s">
        <v>43</v>
      </c>
      <c r="E14" s="4">
        <v>44899</v>
      </c>
      <c r="F14">
        <v>53.001771900000001</v>
      </c>
      <c r="G14">
        <v>4.7890145300000002</v>
      </c>
      <c r="H14" s="1">
        <v>10</v>
      </c>
      <c r="I14" s="1">
        <v>26.7</v>
      </c>
      <c r="J14" s="1">
        <v>36.299999999999997</v>
      </c>
      <c r="K14" s="1">
        <v>0.09</v>
      </c>
      <c r="L14" s="1">
        <v>182.7</v>
      </c>
      <c r="M14" s="1">
        <v>0.15</v>
      </c>
      <c r="N14" s="1">
        <v>0.04</v>
      </c>
      <c r="O14" s="1">
        <v>1.6E-2</v>
      </c>
      <c r="P14" s="1">
        <v>3.2000000000000001E-2</v>
      </c>
      <c r="Q14" s="1">
        <v>1.27</v>
      </c>
      <c r="R14" s="3">
        <v>1000000</v>
      </c>
      <c r="U14" s="3">
        <v>16700000</v>
      </c>
      <c r="Y14" s="7">
        <v>16.63438202</v>
      </c>
      <c r="AB14" s="3">
        <v>254062.66666666701</v>
      </c>
      <c r="AC14" s="3">
        <v>266878.747795414</v>
      </c>
      <c r="AD14" s="3">
        <v>266878.747795414</v>
      </c>
      <c r="AE14" s="3">
        <v>266878.747795414</v>
      </c>
      <c r="AF14" s="6">
        <f t="shared" si="2"/>
        <v>12.195008000000017</v>
      </c>
      <c r="AG14" s="6">
        <f t="shared" si="3"/>
        <v>12.810179894179873</v>
      </c>
      <c r="AH14" s="6">
        <f t="shared" si="4"/>
        <v>12.810179894179873</v>
      </c>
      <c r="AI14" s="6">
        <f t="shared" si="5"/>
        <v>12.810179894179873</v>
      </c>
      <c r="AJ14" s="3">
        <v>214366.66666666701</v>
      </c>
      <c r="AK14" s="3">
        <v>247885.81692706901</v>
      </c>
      <c r="AL14" s="3">
        <v>790782.828282831</v>
      </c>
      <c r="AM14" s="3">
        <v>790782.828282831</v>
      </c>
      <c r="AN14" s="6">
        <f t="shared" si="6"/>
        <v>10.289600000000016</v>
      </c>
      <c r="AO14" s="6">
        <f t="shared" si="7"/>
        <v>11.898519212499313</v>
      </c>
      <c r="AP14" s="6">
        <f t="shared" si="8"/>
        <v>37.957575757575881</v>
      </c>
      <c r="AQ14" s="6">
        <f t="shared" si="9"/>
        <v>37.957575757575881</v>
      </c>
    </row>
    <row r="15" spans="1:43" x14ac:dyDescent="0.3">
      <c r="A15" t="s">
        <v>38</v>
      </c>
      <c r="B15">
        <v>5</v>
      </c>
      <c r="C15" t="s">
        <v>39</v>
      </c>
      <c r="D15" t="s">
        <v>44</v>
      </c>
      <c r="E15" s="4" t="s">
        <v>45</v>
      </c>
      <c r="F15">
        <v>53.001771900000001</v>
      </c>
      <c r="G15">
        <v>4.7890145300000002</v>
      </c>
      <c r="H15" s="1">
        <v>10</v>
      </c>
      <c r="I15" s="1">
        <v>26.8</v>
      </c>
      <c r="J15" s="1">
        <v>36.1</v>
      </c>
      <c r="K15" s="1">
        <v>0.15</v>
      </c>
      <c r="L15" s="1">
        <v>182.4</v>
      </c>
      <c r="M15" s="1">
        <v>0.11</v>
      </c>
      <c r="N15" s="1">
        <v>0.99</v>
      </c>
      <c r="O15" s="1">
        <v>0.22500000000000001</v>
      </c>
      <c r="P15" s="1">
        <v>4.7E-2</v>
      </c>
      <c r="Q15" s="1">
        <v>1</v>
      </c>
      <c r="R15" s="3">
        <v>949000</v>
      </c>
      <c r="U15" s="3">
        <v>16800000</v>
      </c>
      <c r="Y15" s="7">
        <v>17.69357166</v>
      </c>
      <c r="AB15" s="3">
        <v>155335.648148148</v>
      </c>
      <c r="AC15" s="3">
        <v>155131.17283950601</v>
      </c>
      <c r="AD15" s="3">
        <v>155131.17283950601</v>
      </c>
      <c r="AE15" s="3">
        <v>155131.17283950601</v>
      </c>
      <c r="AF15" s="6">
        <f t="shared" si="2"/>
        <v>7.856808336260384</v>
      </c>
      <c r="AG15" s="6">
        <f t="shared" si="3"/>
        <v>7.8464660656441385</v>
      </c>
      <c r="AH15" s="6">
        <f t="shared" si="4"/>
        <v>7.8464660656441385</v>
      </c>
      <c r="AI15" s="6">
        <f t="shared" si="5"/>
        <v>7.8464660656441385</v>
      </c>
      <c r="AJ15" s="3">
        <v>0</v>
      </c>
      <c r="AK15" s="3">
        <v>4243.82716049386</v>
      </c>
      <c r="AL15" s="3">
        <v>0</v>
      </c>
      <c r="AM15" s="3">
        <v>0</v>
      </c>
      <c r="AN15" s="6">
        <f t="shared" si="6"/>
        <v>0</v>
      </c>
      <c r="AO15" s="6">
        <f t="shared" si="7"/>
        <v>0.2146508995824081</v>
      </c>
      <c r="AP15" s="6">
        <f t="shared" si="8"/>
        <v>0</v>
      </c>
      <c r="AQ15" s="6">
        <f t="shared" si="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5208-8D74-4AC9-A35B-29A221AD5EC1}">
  <dimension ref="A1:C44"/>
  <sheetViews>
    <sheetView tabSelected="1" workbookViewId="0">
      <selection activeCell="C33" sqref="C33"/>
    </sheetView>
  </sheetViews>
  <sheetFormatPr defaultRowHeight="14.4" x14ac:dyDescent="0.3"/>
  <cols>
    <col min="1" max="1" width="41.21875" bestFit="1" customWidth="1"/>
    <col min="2" max="2" width="12.5546875" customWidth="1"/>
  </cols>
  <sheetData>
    <row r="1" spans="1:3" s="5" customFormat="1" x14ac:dyDescent="0.3">
      <c r="A1" s="5" t="s">
        <v>50</v>
      </c>
      <c r="B1" s="5" t="s">
        <v>51</v>
      </c>
      <c r="C1" s="5" t="s">
        <v>52</v>
      </c>
    </row>
    <row r="2" spans="1:3" x14ac:dyDescent="0.3">
      <c r="A2" t="s">
        <v>0</v>
      </c>
      <c r="B2" t="s">
        <v>53</v>
      </c>
      <c r="C2" t="s">
        <v>54</v>
      </c>
    </row>
    <row r="3" spans="1:3" x14ac:dyDescent="0.3">
      <c r="A3" t="s">
        <v>1</v>
      </c>
      <c r="B3" t="s">
        <v>53</v>
      </c>
      <c r="C3" t="s">
        <v>55</v>
      </c>
    </row>
    <row r="4" spans="1:3" x14ac:dyDescent="0.3">
      <c r="A4" t="s">
        <v>2</v>
      </c>
      <c r="B4" t="s">
        <v>53</v>
      </c>
      <c r="C4" t="s">
        <v>56</v>
      </c>
    </row>
    <row r="5" spans="1:3" x14ac:dyDescent="0.3">
      <c r="A5" t="s">
        <v>3</v>
      </c>
      <c r="B5" t="s">
        <v>53</v>
      </c>
      <c r="C5" t="s">
        <v>57</v>
      </c>
    </row>
    <row r="6" spans="1:3" x14ac:dyDescent="0.3">
      <c r="A6" t="s">
        <v>4</v>
      </c>
      <c r="B6" t="s">
        <v>58</v>
      </c>
      <c r="C6" t="s">
        <v>59</v>
      </c>
    </row>
    <row r="7" spans="1:3" x14ac:dyDescent="0.3">
      <c r="A7" t="s">
        <v>5</v>
      </c>
      <c r="C7" t="s">
        <v>5</v>
      </c>
    </row>
    <row r="8" spans="1:3" x14ac:dyDescent="0.3">
      <c r="A8" t="s">
        <v>6</v>
      </c>
      <c r="C8" t="s">
        <v>6</v>
      </c>
    </row>
    <row r="9" spans="1:3" x14ac:dyDescent="0.3">
      <c r="A9" t="s">
        <v>60</v>
      </c>
      <c r="B9" t="s">
        <v>61</v>
      </c>
      <c r="C9" t="s">
        <v>62</v>
      </c>
    </row>
    <row r="10" spans="1:3" x14ac:dyDescent="0.3">
      <c r="A10" t="s">
        <v>63</v>
      </c>
      <c r="B10" t="s">
        <v>64</v>
      </c>
      <c r="C10" t="s">
        <v>65</v>
      </c>
    </row>
    <row r="11" spans="1:3" x14ac:dyDescent="0.3">
      <c r="A11" t="s">
        <v>66</v>
      </c>
      <c r="B11" t="s">
        <v>67</v>
      </c>
      <c r="C11" t="s">
        <v>68</v>
      </c>
    </row>
    <row r="12" spans="1:3" x14ac:dyDescent="0.3">
      <c r="A12" s="1" t="s">
        <v>69</v>
      </c>
      <c r="B12" s="1" t="s">
        <v>70</v>
      </c>
      <c r="C12" t="s">
        <v>71</v>
      </c>
    </row>
    <row r="13" spans="1:3" x14ac:dyDescent="0.3">
      <c r="A13" s="1" t="s">
        <v>72</v>
      </c>
      <c r="B13" s="1" t="s">
        <v>73</v>
      </c>
      <c r="C13" t="s">
        <v>74</v>
      </c>
    </row>
    <row r="14" spans="1:3" x14ac:dyDescent="0.3">
      <c r="A14" s="1" t="s">
        <v>96</v>
      </c>
      <c r="B14" s="1" t="s">
        <v>75</v>
      </c>
      <c r="C14" t="s">
        <v>76</v>
      </c>
    </row>
    <row r="15" spans="1:3" x14ac:dyDescent="0.3">
      <c r="A15" t="s">
        <v>97</v>
      </c>
      <c r="B15" s="1" t="s">
        <v>75</v>
      </c>
      <c r="C15" t="s">
        <v>77</v>
      </c>
    </row>
    <row r="16" spans="1:3" x14ac:dyDescent="0.3">
      <c r="A16" t="s">
        <v>98</v>
      </c>
      <c r="B16" s="1" t="s">
        <v>75</v>
      </c>
      <c r="C16" t="s">
        <v>78</v>
      </c>
    </row>
    <row r="17" spans="1:3" x14ac:dyDescent="0.3">
      <c r="A17" t="s">
        <v>99</v>
      </c>
      <c r="B17" s="1" t="s">
        <v>75</v>
      </c>
      <c r="C17" t="s">
        <v>79</v>
      </c>
    </row>
    <row r="18" spans="1:3" x14ac:dyDescent="0.3">
      <c r="A18" t="s">
        <v>100</v>
      </c>
      <c r="B18" s="1" t="s">
        <v>75</v>
      </c>
      <c r="C18" t="s">
        <v>80</v>
      </c>
    </row>
    <row r="19" spans="1:3" x14ac:dyDescent="0.3">
      <c r="A19" t="s">
        <v>101</v>
      </c>
      <c r="B19" s="1" t="s">
        <v>108</v>
      </c>
      <c r="C19" t="s">
        <v>81</v>
      </c>
    </row>
    <row r="20" spans="1:3" x14ac:dyDescent="0.3">
      <c r="A20" t="s">
        <v>102</v>
      </c>
      <c r="B20" s="1" t="s">
        <v>108</v>
      </c>
      <c r="C20" t="s">
        <v>82</v>
      </c>
    </row>
    <row r="21" spans="1:3" x14ac:dyDescent="0.3">
      <c r="A21" t="s">
        <v>103</v>
      </c>
      <c r="B21" s="1" t="s">
        <v>108</v>
      </c>
      <c r="C21" t="s">
        <v>83</v>
      </c>
    </row>
    <row r="22" spans="1:3" x14ac:dyDescent="0.3">
      <c r="A22" t="s">
        <v>104</v>
      </c>
      <c r="B22" s="1" t="s">
        <v>108</v>
      </c>
      <c r="C22" t="s">
        <v>84</v>
      </c>
    </row>
    <row r="23" spans="1:3" x14ac:dyDescent="0.3">
      <c r="A23" t="s">
        <v>105</v>
      </c>
      <c r="B23" s="1" t="s">
        <v>108</v>
      </c>
      <c r="C23" t="s">
        <v>85</v>
      </c>
    </row>
    <row r="24" spans="1:3" x14ac:dyDescent="0.3">
      <c r="A24" t="s">
        <v>106</v>
      </c>
      <c r="B24" s="1" t="s">
        <v>108</v>
      </c>
      <c r="C24" t="s">
        <v>86</v>
      </c>
    </row>
    <row r="25" spans="1:3" x14ac:dyDescent="0.3">
      <c r="A25" t="s">
        <v>107</v>
      </c>
      <c r="B25" s="1" t="s">
        <v>108</v>
      </c>
      <c r="C25" t="s">
        <v>87</v>
      </c>
    </row>
    <row r="26" spans="1:3" x14ac:dyDescent="0.3">
      <c r="A26" t="s">
        <v>7</v>
      </c>
      <c r="B26" t="s">
        <v>53</v>
      </c>
      <c r="C26" t="s">
        <v>88</v>
      </c>
    </row>
    <row r="27" spans="1:3" x14ac:dyDescent="0.3">
      <c r="A27" t="s">
        <v>8</v>
      </c>
      <c r="B27" t="s">
        <v>53</v>
      </c>
      <c r="C27" t="s">
        <v>89</v>
      </c>
    </row>
    <row r="28" spans="1:3" x14ac:dyDescent="0.3">
      <c r="A28" t="s">
        <v>9</v>
      </c>
      <c r="B28" t="s">
        <v>53</v>
      </c>
      <c r="C28" t="s">
        <v>90</v>
      </c>
    </row>
    <row r="29" spans="1:3" x14ac:dyDescent="0.3">
      <c r="A29" t="s">
        <v>46</v>
      </c>
      <c r="B29" t="s">
        <v>91</v>
      </c>
      <c r="C29" t="s">
        <v>92</v>
      </c>
    </row>
    <row r="30" spans="1:3" x14ac:dyDescent="0.3">
      <c r="A30" t="s">
        <v>47</v>
      </c>
      <c r="B30" t="s">
        <v>91</v>
      </c>
      <c r="C30" t="s">
        <v>93</v>
      </c>
    </row>
    <row r="31" spans="1:3" x14ac:dyDescent="0.3">
      <c r="A31" t="s">
        <v>48</v>
      </c>
      <c r="B31" t="s">
        <v>91</v>
      </c>
      <c r="C31" t="s">
        <v>94</v>
      </c>
    </row>
    <row r="32" spans="1:3" x14ac:dyDescent="0.3">
      <c r="A32" t="s">
        <v>49</v>
      </c>
      <c r="B32" t="s">
        <v>91</v>
      </c>
      <c r="C32" t="s">
        <v>95</v>
      </c>
    </row>
    <row r="33" spans="1:3" x14ac:dyDescent="0.3">
      <c r="A33" t="s">
        <v>109</v>
      </c>
      <c r="B33" t="s">
        <v>121</v>
      </c>
      <c r="C33" t="s">
        <v>130</v>
      </c>
    </row>
    <row r="34" spans="1:3" x14ac:dyDescent="0.3">
      <c r="A34" t="s">
        <v>110</v>
      </c>
      <c r="B34" t="s">
        <v>121</v>
      </c>
      <c r="C34" t="s">
        <v>131</v>
      </c>
    </row>
    <row r="35" spans="1:3" x14ac:dyDescent="0.3">
      <c r="A35" t="s">
        <v>111</v>
      </c>
      <c r="B35" t="s">
        <v>121</v>
      </c>
      <c r="C35" t="s">
        <v>132</v>
      </c>
    </row>
    <row r="36" spans="1:3" x14ac:dyDescent="0.3">
      <c r="A36" t="s">
        <v>112</v>
      </c>
      <c r="B36" t="s">
        <v>121</v>
      </c>
      <c r="C36" t="s">
        <v>133</v>
      </c>
    </row>
    <row r="37" spans="1:3" x14ac:dyDescent="0.3">
      <c r="A37" t="s">
        <v>113</v>
      </c>
      <c r="B37" t="s">
        <v>91</v>
      </c>
      <c r="C37" t="s">
        <v>123</v>
      </c>
    </row>
    <row r="38" spans="1:3" x14ac:dyDescent="0.3">
      <c r="A38" t="s">
        <v>114</v>
      </c>
      <c r="B38" t="s">
        <v>91</v>
      </c>
      <c r="C38" t="s">
        <v>124</v>
      </c>
    </row>
    <row r="39" spans="1:3" x14ac:dyDescent="0.3">
      <c r="A39" t="s">
        <v>115</v>
      </c>
      <c r="B39" t="s">
        <v>91</v>
      </c>
      <c r="C39" t="s">
        <v>125</v>
      </c>
    </row>
    <row r="40" spans="1:3" x14ac:dyDescent="0.3">
      <c r="A40" t="s">
        <v>116</v>
      </c>
      <c r="B40" t="s">
        <v>91</v>
      </c>
      <c r="C40" t="s">
        <v>126</v>
      </c>
    </row>
    <row r="41" spans="1:3" x14ac:dyDescent="0.3">
      <c r="A41" t="s">
        <v>117</v>
      </c>
      <c r="B41" t="s">
        <v>121</v>
      </c>
      <c r="C41" t="s">
        <v>122</v>
      </c>
    </row>
    <row r="42" spans="1:3" x14ac:dyDescent="0.3">
      <c r="A42" t="s">
        <v>118</v>
      </c>
      <c r="B42" t="s">
        <v>121</v>
      </c>
      <c r="C42" t="s">
        <v>127</v>
      </c>
    </row>
    <row r="43" spans="1:3" x14ac:dyDescent="0.3">
      <c r="A43" t="s">
        <v>119</v>
      </c>
      <c r="B43" t="s">
        <v>121</v>
      </c>
      <c r="C43" t="s">
        <v>128</v>
      </c>
    </row>
    <row r="44" spans="1:3" x14ac:dyDescent="0.3">
      <c r="A44" t="s">
        <v>120</v>
      </c>
      <c r="B44" t="s">
        <v>121</v>
      </c>
      <c r="C4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VP_assay</vt:lpstr>
      <vt:lpstr>VP_assay_legends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Shaikh</dc:creator>
  <cp:lastModifiedBy>Hisham Shaikh</cp:lastModifiedBy>
  <dcterms:created xsi:type="dcterms:W3CDTF">2015-06-05T18:17:20Z</dcterms:created>
  <dcterms:modified xsi:type="dcterms:W3CDTF">2025-06-20T15:05:42Z</dcterms:modified>
</cp:coreProperties>
</file>